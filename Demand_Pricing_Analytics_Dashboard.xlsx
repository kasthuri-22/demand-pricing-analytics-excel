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raj\Documents\"/>
    </mc:Choice>
  </mc:AlternateContent>
  <xr:revisionPtr revIDLastSave="0" documentId="8_{CDDBBA2C-2C87-4D3F-8E07-E9DA7B5DD8F6}" xr6:coauthVersionLast="47" xr6:coauthVersionMax="47" xr10:uidLastSave="{00000000-0000-0000-0000-000000000000}"/>
  <bookViews>
    <workbookView xWindow="-110" yWindow="-110" windowWidth="19420" windowHeight="10420" xr2:uid="{170E4297-92CF-46B6-9EF8-25D47C37E076}"/>
  </bookViews>
  <sheets>
    <sheet name="Sheet1" sheetId="1" r:id="rId1"/>
  </sheets>
  <definedNames>
    <definedName name="_xlchart.v1.0" hidden="1">Sheet1!$A$2:$A$11</definedName>
    <definedName name="_xlchart.v1.1" hidden="1">Sheet1!$D$2:$D$11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  <c r="B15" i="1"/>
  <c r="D3" i="1"/>
  <c r="D4" i="1"/>
  <c r="D5" i="1"/>
  <c r="D6" i="1"/>
  <c r="D7" i="1"/>
  <c r="D8" i="1"/>
  <c r="D9" i="1"/>
  <c r="D10" i="1"/>
  <c r="D11" i="1"/>
  <c r="D2" i="1"/>
  <c r="B14" i="1"/>
  <c r="B13" i="1"/>
</calcChain>
</file>

<file path=xl/sharedStrings.xml><?xml version="1.0" encoding="utf-8"?>
<sst xmlns="http://schemas.openxmlformats.org/spreadsheetml/2006/main" count="9" uniqueCount="9">
  <si>
    <t xml:space="preserve">Slope </t>
  </si>
  <si>
    <t>Intercept</t>
  </si>
  <si>
    <t>Total  Revenue</t>
  </si>
  <si>
    <t>R^2</t>
  </si>
  <si>
    <t>INSIGHTS</t>
  </si>
  <si>
    <t>Recommendations</t>
  </si>
  <si>
    <t>Product Price</t>
  </si>
  <si>
    <t>Actual Demand</t>
  </si>
  <si>
    <t>Predicted Demand(Regression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</si>
</sst>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9" fontId="0" fillId="0" borderId="0" xfId="1" applyNumberFormat="1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 sz="1100"/>
              <a:t>Demand Response to Price Changes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920</c:v>
                </c:pt>
                <c:pt idx="1">
                  <c:v>890</c:v>
                </c:pt>
                <c:pt idx="2">
                  <c:v>860</c:v>
                </c:pt>
                <c:pt idx="3">
                  <c:v>820</c:v>
                </c:pt>
                <c:pt idx="4">
                  <c:v>780</c:v>
                </c:pt>
                <c:pt idx="5">
                  <c:v>740</c:v>
                </c:pt>
                <c:pt idx="6">
                  <c:v>700</c:v>
                </c:pt>
                <c:pt idx="7">
                  <c:v>660</c:v>
                </c:pt>
                <c:pt idx="8">
                  <c:v>620</c:v>
                </c:pt>
                <c:pt idx="9">
                  <c:v>580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BA-441F-AE98-21330AEC1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28896"/>
        <c:axId val="202653376"/>
      </c:scatterChart>
      <c:valAx>
        <c:axId val="20262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53376"/>
        <c:crosses val="autoZero"/>
        <c:crossBetween val="midCat"/>
      </c:valAx>
      <c:valAx>
        <c:axId val="20265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 sz="1200" b="1"/>
              <a:t>Revenue Optimization by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Revenue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</c:numCache>
            </c:num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18400</c:v>
                </c:pt>
                <c:pt idx="1">
                  <c:v>22250</c:v>
                </c:pt>
                <c:pt idx="2">
                  <c:v>25800</c:v>
                </c:pt>
                <c:pt idx="3">
                  <c:v>28700</c:v>
                </c:pt>
                <c:pt idx="4">
                  <c:v>31200</c:v>
                </c:pt>
                <c:pt idx="5">
                  <c:v>33300</c:v>
                </c:pt>
                <c:pt idx="6">
                  <c:v>35000</c:v>
                </c:pt>
                <c:pt idx="7">
                  <c:v>36300</c:v>
                </c:pt>
                <c:pt idx="8">
                  <c:v>37200</c:v>
                </c:pt>
                <c:pt idx="9">
                  <c:v>37700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7-4919-AABF-94A6BAE93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962256"/>
        <c:axId val="48698193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</c:v>
                      </c:pt>
                      <c:pt idx="1">
                        <c:v>25</c:v>
                      </c:pt>
                      <c:pt idx="2">
                        <c:v>30</c:v>
                      </c:pt>
                      <c:pt idx="3">
                        <c:v>35</c:v>
                      </c:pt>
                      <c:pt idx="4">
                        <c:v>40</c:v>
                      </c:pt>
                      <c:pt idx="5">
                        <c:v>45</c:v>
                      </c:pt>
                      <c:pt idx="6">
                        <c:v>50</c:v>
                      </c:pt>
                      <c:pt idx="7">
                        <c:v>55</c:v>
                      </c:pt>
                      <c:pt idx="8">
                        <c:v>60</c:v>
                      </c:pt>
                      <c:pt idx="9">
                        <c:v>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18400</c:v>
                      </c:pt>
                      <c:pt idx="1">
                        <c:v>22250</c:v>
                      </c:pt>
                      <c:pt idx="2">
                        <c:v>25800</c:v>
                      </c:pt>
                      <c:pt idx="3">
                        <c:v>28700</c:v>
                      </c:pt>
                      <c:pt idx="4">
                        <c:v>31200</c:v>
                      </c:pt>
                      <c:pt idx="5">
                        <c:v>33300</c:v>
                      </c:pt>
                      <c:pt idx="6">
                        <c:v>35000</c:v>
                      </c:pt>
                      <c:pt idx="7">
                        <c:v>36300</c:v>
                      </c:pt>
                      <c:pt idx="8">
                        <c:v>37200</c:v>
                      </c:pt>
                      <c:pt idx="9">
                        <c:v>37700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1F7-4919-AABF-94A6BAE9335C}"/>
                  </c:ext>
                </c:extLst>
              </c15:ser>
            </c15:filteredLineSeries>
          </c:ext>
        </c:extLst>
      </c:lineChart>
      <c:catAx>
        <c:axId val="48696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981936"/>
        <c:crosses val="autoZero"/>
        <c:auto val="1"/>
        <c:lblAlgn val="ctr"/>
        <c:lblOffset val="100"/>
        <c:noMultiLvlLbl val="0"/>
      </c:catAx>
      <c:valAx>
        <c:axId val="4869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96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261487</xdr:colOff>
      <xdr:row>13</xdr:row>
      <xdr:rowOff>109755</xdr:rowOff>
    </xdr:from>
    <xdr:to>
      <xdr:col>9</xdr:col>
      <xdr:colOff>141111</xdr:colOff>
      <xdr:row>26</xdr:row>
      <xdr:rowOff>47037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DC8B4B-269A-97D2-7C6D-440441D99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399814</xdr:colOff>
      <xdr:row>13</xdr:row>
      <xdr:rowOff>94074</xdr:rowOff>
    </xdr:from>
    <xdr:to>
      <xdr:col>16</xdr:col>
      <xdr:colOff>228130</xdr:colOff>
      <xdr:row>26</xdr:row>
      <xdr:rowOff>78394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645132-0619-D5A0-5040-3CF66944D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282223</xdr:colOff>
      <xdr:row>0</xdr:row>
      <xdr:rowOff>109753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E94E93-0F3C-30C5-BFCB-9CC10F1F5F07}"/>
            </a:ext>
          </a:extLst>
        </xdr:cNvPr>
        <xdr:cNvSpPr txBox="1"/>
      </xdr:nvSpPr>
      <xdr:spPr>
        <a:xfrm>
          <a:off x="5040803" y="10975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2400"/>
        </a:p>
      </xdr:txBody>
    </xdr:sp>
    <xdr:clientData/>
  </xdr:oneCellAnchor>
  <xdr:twoCellAnchor>
    <xdr:from>
      <xdr:col>4</xdr:col>
      <xdr:colOff>172469</xdr:colOff>
      <xdr:row>0</xdr:row>
      <xdr:rowOff>94075</xdr:rowOff>
    </xdr:from>
    <xdr:to>
      <xdr:col>16</xdr:col>
      <xdr:colOff>309562</xdr:colOff>
      <xdr:row>2</xdr:row>
      <xdr:rowOff>141112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4DF1F55-A356-95C2-76C4-8412319A42A7}"/>
            </a:ext>
          </a:extLst>
        </xdr:cNvPr>
        <xdr:cNvSpPr/>
      </xdr:nvSpPr>
      <xdr:spPr>
        <a:xfrm>
          <a:off x="4927032" y="94075"/>
          <a:ext cx="7090343" cy="412162"/>
        </a:xfrm>
        <a:prstGeom prst="rect">
          <a:avLst/>
        </a:prstGeom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400">
              <a:ln>
                <a:solidFill>
                  <a:sysClr val="windowText" lastClr="000000"/>
                </a:solidFill>
              </a:ln>
            </a:rPr>
            <a:t>Demand &amp; Pricing Analytics using Excel</a:t>
          </a:r>
        </a:p>
      </xdr:txBody>
    </xdr:sp>
    <xdr:clientData/>
  </xdr:twoCellAnchor>
  <xdr:twoCellAnchor>
    <xdr:from>
      <xdr:col>4</xdr:col>
      <xdr:colOff>306817</xdr:colOff>
      <xdr:row>3</xdr:row>
      <xdr:rowOff>70851</xdr:rowOff>
    </xdr:from>
    <xdr:to>
      <xdr:col>11</xdr:col>
      <xdr:colOff>47625</xdr:colOff>
      <xdr:row>13</xdr:row>
      <xdr:rowOff>63011</xdr:rowOff>
    </xdr:to>
    <xdr:sp macro="" textlink="">
      <xdr:nvSpPr>
        <xdr:cNvPr id="9" name="Scroll: Horizontal 8">
          <a:extLst>
            <a:ext uri="{FF2B5EF4-FFF2-40B4-BE49-F238E27FC236}">
              <a16:creationId xmlns:a16="http://schemas.microsoft.com/office/drawing/2014/main" id="{01A65ADE-06B1-7584-7233-7FA2FEE5537C}"/>
            </a:ext>
          </a:extLst>
        </xdr:cNvPr>
        <xdr:cNvSpPr/>
      </xdr:nvSpPr>
      <xdr:spPr>
        <a:xfrm>
          <a:off x="5061380" y="618539"/>
          <a:ext cx="3638120" cy="1873347"/>
        </a:xfrm>
        <a:prstGeom prst="horizontalScrol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chemeClr val="tx1"/>
              </a:solidFill>
            </a:rPr>
            <a:t>Observation: </a:t>
          </a:r>
          <a:r>
            <a:rPr lang="en-GB" sz="1100"/>
            <a:t>Demand decreases with price.</a:t>
          </a:r>
        </a:p>
        <a:p>
          <a:pPr algn="l"/>
          <a:endParaRPr lang="en-GB" sz="1100">
            <a:solidFill>
              <a:schemeClr val="tx1"/>
            </a:solidFill>
          </a:endParaRPr>
        </a:p>
        <a:p>
          <a:pPr algn="l"/>
          <a:r>
            <a:rPr lang="en-GB" sz="1100">
              <a:solidFill>
                <a:schemeClr val="tx1"/>
              </a:solidFill>
            </a:rPr>
            <a:t>Interpretation: </a:t>
          </a:r>
          <a:r>
            <a:rPr lang="en-GB" sz="1100"/>
            <a:t>Customers are price sensitive.</a:t>
          </a:r>
        </a:p>
        <a:p>
          <a:pPr algn="l"/>
          <a:endParaRPr lang="en-GB" sz="1100"/>
        </a:p>
        <a:p>
          <a:pPr algn="l"/>
          <a:r>
            <a:rPr lang="en-GB" sz="1100">
              <a:solidFill>
                <a:schemeClr val="tx1"/>
              </a:solidFill>
            </a:rPr>
            <a:t>Business Impact: </a:t>
          </a:r>
          <a:r>
            <a:rPr lang="en-GB" sz="1100"/>
            <a:t>Price increases must be carefully evaluated to avoid revenue loss.</a:t>
          </a:r>
        </a:p>
      </xdr:txBody>
    </xdr:sp>
    <xdr:clientData/>
  </xdr:twoCellAnchor>
  <xdr:twoCellAnchor>
    <xdr:from>
      <xdr:col>0</xdr:col>
      <xdr:colOff>103187</xdr:colOff>
      <xdr:row>15</xdr:row>
      <xdr:rowOff>39687</xdr:rowOff>
    </xdr:from>
    <xdr:to>
      <xdr:col>2</xdr:col>
      <xdr:colOff>158750</xdr:colOff>
      <xdr:row>24</xdr:row>
      <xdr:rowOff>1</xdr:rowOff>
    </xdr:to>
    <xdr:sp macro="" textlink="">
      <xdr:nvSpPr>
        <xdr:cNvPr id="10" name="Speech Bubble: Oval 9">
          <a:extLst>
            <a:ext uri="{FF2B5EF4-FFF2-40B4-BE49-F238E27FC236}">
              <a16:creationId xmlns:a16="http://schemas.microsoft.com/office/drawing/2014/main" id="{83987C0D-6495-9DB3-A02C-63E9398F89B9}"/>
            </a:ext>
          </a:extLst>
        </xdr:cNvPr>
        <xdr:cNvSpPr/>
      </xdr:nvSpPr>
      <xdr:spPr>
        <a:xfrm>
          <a:off x="103187" y="2778125"/>
          <a:ext cx="2278063" cy="1603376"/>
        </a:xfrm>
        <a:prstGeom prst="wedgeEllipseCallou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/>
            <a:t>The regression model explains over </a:t>
          </a:r>
          <a:r>
            <a:rPr lang="en-GB">
              <a:solidFill>
                <a:schemeClr val="tx1"/>
              </a:solidFill>
            </a:rPr>
            <a:t>99.8% </a:t>
          </a:r>
          <a:r>
            <a:rPr lang="en-GB"/>
            <a:t>of demand variation, indicating a strong relationship between price and demand.</a:t>
          </a:r>
          <a:endParaRPr lang="en-GB" sz="1100"/>
        </a:p>
      </xdr:txBody>
    </xdr:sp>
    <xdr:clientData/>
  </xdr:twoCellAnchor>
  <xdr:twoCellAnchor>
    <xdr:from>
      <xdr:col>11</xdr:col>
      <xdr:colOff>412751</xdr:colOff>
      <xdr:row>3</xdr:row>
      <xdr:rowOff>0</xdr:rowOff>
    </xdr:from>
    <xdr:to>
      <xdr:col>17</xdr:col>
      <xdr:colOff>468313</xdr:colOff>
      <xdr:row>13</xdr:row>
      <xdr:rowOff>0</xdr:rowOff>
    </xdr:to>
    <xdr:sp macro="" textlink="">
      <xdr:nvSpPr>
        <xdr:cNvPr id="11" name="Scroll: Horizontal 10">
          <a:extLst>
            <a:ext uri="{FF2B5EF4-FFF2-40B4-BE49-F238E27FC236}">
              <a16:creationId xmlns:a16="http://schemas.microsoft.com/office/drawing/2014/main" id="{54C93EB7-3F66-F3EC-EBE1-E649EDD52CE2}"/>
            </a:ext>
          </a:extLst>
        </xdr:cNvPr>
        <xdr:cNvSpPr/>
      </xdr:nvSpPr>
      <xdr:spPr>
        <a:xfrm>
          <a:off x="9064626" y="547688"/>
          <a:ext cx="3722687" cy="1881187"/>
        </a:xfrm>
        <a:prstGeom prst="horizontalScrol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GB" b="0">
              <a:solidFill>
                <a:schemeClr val="tx1"/>
              </a:solidFill>
            </a:rPr>
            <a:t>Recommendation</a:t>
          </a:r>
          <a:br>
            <a:rPr lang="en-GB" b="0">
              <a:solidFill>
                <a:schemeClr val="tx1"/>
              </a:solidFill>
            </a:rPr>
          </a:br>
          <a:endParaRPr lang="en-GB" b="0">
            <a:solidFill>
              <a:schemeClr val="tx1"/>
            </a:solidFill>
          </a:endParaRPr>
        </a:p>
        <a:p>
          <a:r>
            <a:rPr lang="en-GB"/>
            <a:t>• Optimal price ≈ </a:t>
          </a:r>
          <a:r>
            <a:rPr lang="en-GB" b="1"/>
            <a:t>60–65</a:t>
          </a:r>
          <a:br>
            <a:rPr lang="en-GB"/>
          </a:br>
          <a:r>
            <a:rPr lang="en-GB"/>
            <a:t>• This range maximizes revenue</a:t>
          </a:r>
          <a:br>
            <a:rPr lang="en-GB"/>
          </a:br>
          <a:r>
            <a:rPr lang="en-GB"/>
            <a:t>• Avoid pricing above this range to prevent demand loss</a:t>
          </a:r>
        </a:p>
        <a:p>
          <a:pPr algn="l"/>
          <a:endParaRPr lang="en-GB" sz="1100"/>
        </a:p>
      </xdr:txBody>
    </xdr:sp>
    <xdr:clientData/>
  </xdr:twoCellAnchor>
  <xdr:twoCellAnchor>
    <xdr:from>
      <xdr:col>0</xdr:col>
      <xdr:colOff>682626</xdr:colOff>
      <xdr:row>35</xdr:row>
      <xdr:rowOff>63500</xdr:rowOff>
    </xdr:from>
    <xdr:to>
      <xdr:col>1</xdr:col>
      <xdr:colOff>142876</xdr:colOff>
      <xdr:row>36</xdr:row>
      <xdr:rowOff>57149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64ADFCA4-A26E-2210-32A1-05C374CF160A}"/>
            </a:ext>
          </a:extLst>
        </xdr:cNvPr>
        <xdr:cNvSpPr txBox="1">
          <a:spLocks noChangeArrowheads="1"/>
        </xdr:cNvSpPr>
      </xdr:nvSpPr>
      <xdr:spPr bwMode="auto">
        <a:xfrm>
          <a:off x="682626" y="6508750"/>
          <a:ext cx="571500" cy="1762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2</xdr:col>
      <xdr:colOff>436562</xdr:colOff>
      <xdr:row>13</xdr:row>
      <xdr:rowOff>111125</xdr:rowOff>
    </xdr:from>
    <xdr:to>
      <xdr:col>3</xdr:col>
      <xdr:colOff>127000</xdr:colOff>
      <xdr:row>23</xdr:row>
      <xdr:rowOff>31750</xdr:rowOff>
    </xdr:to>
    <xdr:sp macro="" textlink="">
      <xdr:nvSpPr>
        <xdr:cNvPr id="12" name="Frame 11">
          <a:extLst>
            <a:ext uri="{FF2B5EF4-FFF2-40B4-BE49-F238E27FC236}">
              <a16:creationId xmlns:a16="http://schemas.microsoft.com/office/drawing/2014/main" id="{059AE586-6E25-675F-3A6E-D0D51FE94BC0}"/>
            </a:ext>
          </a:extLst>
        </xdr:cNvPr>
        <xdr:cNvSpPr/>
      </xdr:nvSpPr>
      <xdr:spPr>
        <a:xfrm>
          <a:off x="2659062" y="2540000"/>
          <a:ext cx="2119313" cy="1746250"/>
        </a:xfrm>
        <a:prstGeom prst="fram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chemeClr val="tx1"/>
              </a:solidFill>
            </a:rPr>
            <a:t>KPI:</a:t>
          </a:r>
          <a:br>
            <a:rPr lang="en-GB" sz="1100">
              <a:solidFill>
                <a:schemeClr val="tx1"/>
              </a:solidFill>
            </a:rPr>
          </a:br>
          <a:br>
            <a:rPr lang="en-GB" sz="1100">
              <a:solidFill>
                <a:schemeClr val="tx1"/>
              </a:solidFill>
            </a:rPr>
          </a:br>
          <a:r>
            <a:rPr lang="en-GB" sz="1100">
              <a:solidFill>
                <a:schemeClr val="tx1"/>
              </a:solidFill>
            </a:rPr>
            <a:t>1.Optimal Price : 65</a:t>
          </a:r>
        </a:p>
        <a:p>
          <a:pPr algn="l"/>
          <a:r>
            <a:rPr lang="en-GB" sz="1100">
              <a:solidFill>
                <a:schemeClr val="tx1"/>
              </a:solidFill>
            </a:rPr>
            <a:t>2.Maximum Revenue : 37,700</a:t>
          </a:r>
        </a:p>
        <a:p>
          <a:pPr algn="l"/>
          <a:r>
            <a:rPr lang="en-GB" sz="1100">
              <a:solidFill>
                <a:schemeClr val="tx1"/>
              </a:solidFill>
            </a:rPr>
            <a:t>3.Demand Model R² : 99.8%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07FB-A482-4823-B667-8711E420E6DB}">
  <dimension ref="A1:Q17"/>
  <sheetViews>
    <sheetView tabSelected="1" zoomScale="80" zoomScaleNormal="80" workbookViewId="0">
      <selection activeCell="R24" sqref="R24"/>
    </sheetView>
  </sheetViews>
  <sheetFormatPr defaultRowHeight="14.5" x14ac:dyDescent="0.35"/>
  <cols>
    <col min="1" max="2" width="15.90625" customWidth="1"/>
    <col min="3" max="3" width="34.81640625" customWidth="1"/>
    <col min="4" max="4" width="17.1796875" customWidth="1"/>
    <col min="8" max="9" width="6" customWidth="1"/>
  </cols>
  <sheetData>
    <row r="1" spans="1:17" x14ac:dyDescent="0.35">
      <c r="A1" s="1" t="s">
        <v>6</v>
      </c>
      <c r="B1" s="1" t="s">
        <v>7</v>
      </c>
      <c r="C1" s="4" t="s">
        <v>8</v>
      </c>
      <c r="D1" s="3" t="s">
        <v>2</v>
      </c>
    </row>
    <row r="2" spans="1:17" x14ac:dyDescent="0.35">
      <c r="A2" s="2">
        <v>20</v>
      </c>
      <c r="B2" s="2">
        <v>920</v>
      </c>
      <c r="C2">
        <f>$B$14+$B$13*A2</f>
        <v>930.18181818181802</v>
      </c>
      <c r="D2">
        <f>A2*B2</f>
        <v>18400</v>
      </c>
    </row>
    <row r="3" spans="1:17" x14ac:dyDescent="0.35">
      <c r="A3" s="2">
        <v>25</v>
      </c>
      <c r="B3" s="2">
        <v>890</v>
      </c>
      <c r="C3">
        <f t="shared" ref="C3:C11" si="0">$B$14+$B$13*A3</f>
        <v>891.69696969696952</v>
      </c>
      <c r="D3">
        <f t="shared" ref="D3:D11" si="1">A3*B3</f>
        <v>22250</v>
      </c>
    </row>
    <row r="4" spans="1:17" ht="18.5" x14ac:dyDescent="0.45">
      <c r="A4" s="2">
        <v>30</v>
      </c>
      <c r="B4" s="2">
        <v>860</v>
      </c>
      <c r="C4">
        <f t="shared" si="0"/>
        <v>853.21212121212113</v>
      </c>
      <c r="D4">
        <f t="shared" si="1"/>
        <v>25800</v>
      </c>
      <c r="H4" s="6" t="s">
        <v>4</v>
      </c>
      <c r="N4" s="7" t="s">
        <v>5</v>
      </c>
      <c r="O4" s="7"/>
      <c r="P4" s="7"/>
      <c r="Q4" s="7"/>
    </row>
    <row r="5" spans="1:17" x14ac:dyDescent="0.35">
      <c r="A5" s="2">
        <v>35</v>
      </c>
      <c r="B5" s="2">
        <v>820</v>
      </c>
      <c r="C5">
        <f t="shared" si="0"/>
        <v>814.72727272727263</v>
      </c>
      <c r="D5">
        <f t="shared" si="1"/>
        <v>28700</v>
      </c>
    </row>
    <row r="6" spans="1:17" x14ac:dyDescent="0.35">
      <c r="A6" s="2">
        <v>40</v>
      </c>
      <c r="B6" s="2">
        <v>780</v>
      </c>
      <c r="C6">
        <f t="shared" si="0"/>
        <v>776.24242424242414</v>
      </c>
      <c r="D6">
        <f t="shared" si="1"/>
        <v>31200</v>
      </c>
    </row>
    <row r="7" spans="1:17" x14ac:dyDescent="0.35">
      <c r="A7" s="2">
        <v>45</v>
      </c>
      <c r="B7" s="2">
        <v>740</v>
      </c>
      <c r="C7">
        <f t="shared" si="0"/>
        <v>737.75757575757564</v>
      </c>
      <c r="D7">
        <f t="shared" si="1"/>
        <v>33300</v>
      </c>
    </row>
    <row r="8" spans="1:17" x14ac:dyDescent="0.35">
      <c r="A8" s="2">
        <v>50</v>
      </c>
      <c r="B8" s="2">
        <v>700</v>
      </c>
      <c r="C8">
        <f t="shared" si="0"/>
        <v>699.27272727272714</v>
      </c>
      <c r="D8">
        <f t="shared" si="1"/>
        <v>35000</v>
      </c>
    </row>
    <row r="9" spans="1:17" x14ac:dyDescent="0.35">
      <c r="A9" s="2">
        <v>55</v>
      </c>
      <c r="B9" s="2">
        <v>660</v>
      </c>
      <c r="C9">
        <f t="shared" si="0"/>
        <v>660.78787878787864</v>
      </c>
      <c r="D9">
        <f t="shared" si="1"/>
        <v>36300</v>
      </c>
    </row>
    <row r="10" spans="1:17" x14ac:dyDescent="0.35">
      <c r="A10" s="2">
        <v>60</v>
      </c>
      <c r="B10" s="2">
        <v>620</v>
      </c>
      <c r="C10">
        <f t="shared" si="0"/>
        <v>622.30303030303025</v>
      </c>
      <c r="D10">
        <f t="shared" si="1"/>
        <v>37200</v>
      </c>
    </row>
    <row r="11" spans="1:17" x14ac:dyDescent="0.35">
      <c r="A11" s="2">
        <v>65</v>
      </c>
      <c r="B11" s="2">
        <v>580</v>
      </c>
      <c r="C11">
        <f t="shared" si="0"/>
        <v>583.81818181818176</v>
      </c>
      <c r="D11">
        <f t="shared" si="1"/>
        <v>37700</v>
      </c>
    </row>
    <row r="13" spans="1:17" x14ac:dyDescent="0.35">
      <c r="A13" s="3" t="s">
        <v>0</v>
      </c>
      <c r="B13">
        <f>SLOPE(B2:B11,A2:A11)</f>
        <v>-7.6969696969696972</v>
      </c>
      <c r="D13" s="3"/>
    </row>
    <row r="14" spans="1:17" x14ac:dyDescent="0.35">
      <c r="A14" s="3" t="s">
        <v>1</v>
      </c>
      <c r="B14">
        <f>INTERCEPT(B2:B11,A2:A11)</f>
        <v>1084.121212121212</v>
      </c>
    </row>
    <row r="15" spans="1:17" x14ac:dyDescent="0.35">
      <c r="A15" s="3" t="s">
        <v>3</v>
      </c>
      <c r="B15" s="5">
        <f>RSQ(B2:B11,A2:A11)</f>
        <v>0.99819781014127917</v>
      </c>
    </row>
    <row r="17" spans="1:1" x14ac:dyDescent="0.35">
      <c r="A17" s="3"/>
    </row>
  </sheetData>
  <mergeCells count="1">
    <mergeCell ref="N4:Q4"/>
  </mergeCells>
  <conditionalFormatting sqref="D1:D1048576">
    <cfRule type="top10" dxfId="0" priority="1" rank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shakthi</dc:creator>
  <cp:lastModifiedBy>kasthuri shakthi</cp:lastModifiedBy>
  <cp:lastPrinted>2026-03-31T05:52:08Z</cp:lastPrinted>
  <dcterms:created xsi:type="dcterms:W3CDTF">2026-03-31T05:31:12Z</dcterms:created>
  <dcterms:modified xsi:type="dcterms:W3CDTF">2026-03-31T06:45:02Z</dcterms:modified>
</cp:coreProperties>
</file>